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A9CAFF-2BB3-4724-8DF1-440885416539}" xr6:coauthVersionLast="47" xr6:coauthVersionMax="47" xr10:uidLastSave="{00000000-0000-0000-0000-000000000000}"/>
  <bookViews>
    <workbookView xWindow="-120" yWindow="-120" windowWidth="29040" windowHeight="15720" xr2:uid="{4C8418A4-3CD3-447B-B2F4-AD7544791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 a="1"/>
  <c r="H43" i="1" s="1"/>
  <c r="G43" i="1"/>
  <c r="G43" i="1" a="1"/>
  <c r="F43" i="1" a="1"/>
  <c r="F43" i="1" s="1"/>
  <c r="E43" i="1" a="1"/>
  <c r="E43" i="1" s="1"/>
  <c r="D43" i="1" a="1"/>
  <c r="D43" i="1" s="1"/>
  <c r="B43" i="1"/>
  <c r="B42" i="1"/>
  <c r="B42" i="1" a="1"/>
  <c r="H30" i="1" a="1"/>
  <c r="H30" i="1" s="1"/>
  <c r="G30" i="1" a="1"/>
  <c r="G30" i="1" s="1"/>
  <c r="F30" i="1" a="1"/>
  <c r="F30" i="1" s="1"/>
  <c r="E30" i="1" a="1"/>
  <c r="E30" i="1" s="1"/>
  <c r="D30" i="1" a="1"/>
  <c r="D30" i="1" s="1"/>
  <c r="B30" i="1"/>
  <c r="B29" i="1"/>
  <c r="B29" i="1" a="1"/>
  <c r="B16" i="1" a="1"/>
  <c r="B16" i="1" s="1"/>
  <c r="E17" i="1" a="1"/>
  <c r="E17" i="1" s="1"/>
  <c r="F17" i="1" a="1"/>
  <c r="F17" i="1" s="1"/>
  <c r="D17" i="1" a="1"/>
  <c r="D17" i="1" s="1"/>
  <c r="G17" i="1" l="1" a="1"/>
  <c r="G17" i="1" s="1"/>
  <c r="H17" i="1" a="1"/>
  <c r="H17" i="1" s="1"/>
  <c r="B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<sst xmlns="http://schemas.openxmlformats.org/spreadsheetml/2006/main" count="33" uniqueCount="10">
  <si>
    <t>Speed</t>
  </si>
  <si>
    <t>AirFlowRate m3\hr</t>
  </si>
  <si>
    <t>StaticPressure Pa</t>
  </si>
  <si>
    <t>TotalEff</t>
  </si>
  <si>
    <t>FEI</t>
  </si>
  <si>
    <t/>
  </si>
  <si>
    <t>KESO-315</t>
  </si>
  <si>
    <t>AbsorbedPower kW</t>
  </si>
  <si>
    <t>Sound Power dBA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</si>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</sst>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81C4-065A-46D0-B1FB-C037D4BCD355}">
  <dimension ref="B3:I52"/>
  <sheetViews>
    <sheetView tabSelected="1" workbookViewId="0">
      <selection activeCell="L5" sqref="L5"/>
    </sheetView>
  </sheetViews>
  <sheetFormatPr defaultRowHeight="15" x14ac:dyDescent="0.25"/>
  <cols>
    <col min="1" max="1" width="9.140625" style="1"/>
    <col min="2" max="2" width="9.28515625" style="1" bestFit="1" customWidth="1"/>
    <col min="3" max="3" width="6.28515625" style="1" bestFit="1" customWidth="1"/>
    <col min="4" max="4" width="17.42578125" style="1" bestFit="1" customWidth="1"/>
    <col min="5" max="5" width="16.42578125" style="1" bestFit="1" customWidth="1"/>
    <col min="6" max="6" width="18.28515625" style="1" bestFit="1" customWidth="1"/>
    <col min="7" max="8" width="10.7109375" style="1" customWidth="1"/>
    <col min="9" max="9" width="16.42578125" style="1" bestFit="1" customWidth="1"/>
    <col min="10" max="16384" width="9.140625" style="1"/>
  </cols>
  <sheetData>
    <row r="3" spans="2:9" x14ac:dyDescent="0.25">
      <c r="B3" s="1" t="s">
        <v>9</v>
      </c>
      <c r="C3" s="1" t="s">
        <v>0</v>
      </c>
      <c r="D3" s="1" t="s">
        <v>1</v>
      </c>
      <c r="E3" s="1" t="s">
        <v>2</v>
      </c>
      <c r="F3" s="1" t="s">
        <v>7</v>
      </c>
      <c r="G3" s="1" t="s">
        <v>3</v>
      </c>
      <c r="H3" s="1" t="s">
        <v>4</v>
      </c>
      <c r="I3" s="1" t="s">
        <v>8</v>
      </c>
    </row>
    <row r="4" spans="2:9" x14ac:dyDescent="0.25">
      <c r="B4" s="1" t="s">
        <v>6</v>
      </c>
      <c r="C4" s="1">
        <v>2880</v>
      </c>
      <c r="D4" s="6">
        <v>3387.6</v>
      </c>
      <c r="E4" s="6">
        <v>0</v>
      </c>
      <c r="F4" s="1">
        <v>0.4</v>
      </c>
      <c r="G4" s="1">
        <v>8</v>
      </c>
      <c r="H4" s="3">
        <v>0.56499999999999995</v>
      </c>
      <c r="I4" s="5">
        <v>94.729251137073334</v>
      </c>
    </row>
    <row r="5" spans="2:9" x14ac:dyDescent="0.25">
      <c r="D5" s="6">
        <v>3096</v>
      </c>
      <c r="E5" s="6">
        <v>241</v>
      </c>
      <c r="F5" s="1">
        <v>0.46899999999999997</v>
      </c>
      <c r="G5" s="1">
        <v>49.4</v>
      </c>
      <c r="H5" s="3">
        <v>1.2909999999999999</v>
      </c>
      <c r="I5" s="5" t="s">
        <v>5</v>
      </c>
    </row>
    <row r="6" spans="2:9" x14ac:dyDescent="0.25">
      <c r="D6" s="6">
        <v>2869.2000000000003</v>
      </c>
      <c r="E6" s="6">
        <v>442</v>
      </c>
      <c r="F6" s="1">
        <v>0.55800000000000005</v>
      </c>
      <c r="G6" s="1">
        <v>66.5</v>
      </c>
      <c r="H6" s="3">
        <v>1.571</v>
      </c>
      <c r="I6" s="5">
        <v>90.908250810891701</v>
      </c>
    </row>
    <row r="7" spans="2:9" x14ac:dyDescent="0.25">
      <c r="D7" s="6">
        <v>2530.7999999999997</v>
      </c>
      <c r="E7" s="6">
        <v>734</v>
      </c>
      <c r="F7" s="1">
        <v>0.68500000000000005</v>
      </c>
      <c r="G7" s="1">
        <v>77.099999999999994</v>
      </c>
      <c r="H7" s="3">
        <v>1.7450000000000001</v>
      </c>
      <c r="I7" s="5" t="s">
        <v>5</v>
      </c>
    </row>
    <row r="8" spans="2:9" x14ac:dyDescent="0.25">
      <c r="D8" s="6">
        <v>2203.1999999999998</v>
      </c>
      <c r="E8" s="6">
        <v>923</v>
      </c>
      <c r="F8" s="1">
        <v>0.71299999999999997</v>
      </c>
      <c r="G8" s="1">
        <v>80.099999999999994</v>
      </c>
      <c r="H8" s="3">
        <v>1.819</v>
      </c>
      <c r="I8" s="5">
        <v>88.567041936546502</v>
      </c>
    </row>
    <row r="9" spans="2:9" x14ac:dyDescent="0.25">
      <c r="D9" s="6">
        <v>1832.4</v>
      </c>
      <c r="E9" s="6">
        <v>1062</v>
      </c>
      <c r="F9" s="1">
        <v>0.69399999999999995</v>
      </c>
      <c r="G9" s="1">
        <v>78.2</v>
      </c>
      <c r="H9" s="3">
        <v>1.8240000000000001</v>
      </c>
      <c r="I9" s="5" t="s">
        <v>5</v>
      </c>
    </row>
    <row r="10" spans="2:9" x14ac:dyDescent="0.25">
      <c r="D10" s="6">
        <v>1522.8</v>
      </c>
      <c r="E10" s="6">
        <v>1118</v>
      </c>
      <c r="F10" s="1">
        <v>0.64500000000000002</v>
      </c>
      <c r="G10" s="1">
        <v>73.400000000000006</v>
      </c>
      <c r="H10" s="3">
        <v>1.7789999999999999</v>
      </c>
      <c r="I10" s="5">
        <v>90.590533098025858</v>
      </c>
    </row>
    <row r="11" spans="2:9" x14ac:dyDescent="0.25">
      <c r="D11" s="6">
        <v>993.60000000000014</v>
      </c>
      <c r="E11" s="6">
        <v>1108</v>
      </c>
      <c r="F11" s="1">
        <v>0.50800000000000001</v>
      </c>
      <c r="G11" s="1">
        <v>59.9</v>
      </c>
      <c r="H11" s="3">
        <v>1.643</v>
      </c>
      <c r="I11" s="5" t="s">
        <v>5</v>
      </c>
    </row>
    <row r="12" spans="2:9" x14ac:dyDescent="0.25">
      <c r="D12" s="6">
        <v>396</v>
      </c>
      <c r="E12" s="6">
        <v>1082</v>
      </c>
      <c r="F12" s="1">
        <v>0.38500000000000001</v>
      </c>
      <c r="G12" s="1">
        <v>30.9</v>
      </c>
      <c r="H12" s="3">
        <v>1.278</v>
      </c>
      <c r="I12" s="5" t="s">
        <v>5</v>
      </c>
    </row>
    <row r="13" spans="2:9" x14ac:dyDescent="0.25">
      <c r="D13" s="6">
        <v>0</v>
      </c>
      <c r="E13" s="6">
        <v>1141</v>
      </c>
      <c r="F13" s="1">
        <v>0.34799999999999998</v>
      </c>
      <c r="G13" s="1">
        <v>0</v>
      </c>
      <c r="H13" s="3">
        <v>0.83099999999999996</v>
      </c>
      <c r="I13" s="5" t="s">
        <v>5</v>
      </c>
    </row>
    <row r="16" spans="2:9" x14ac:dyDescent="0.25">
      <c r="B16" s="1" t="str" cm="1">
        <f t="array" ref="B16:I16">$B$3:$I$3</f>
        <v>Model</v>
      </c>
      <c r="C16" s="1" t="str">
        <v>Speed</v>
      </c>
      <c r="D16" s="1" t="str">
        <v>AirFlowRate m3\hr</v>
      </c>
      <c r="E16" s="1" t="str">
        <v>StaticPressure Pa</v>
      </c>
      <c r="F16" s="1" t="str">
        <v>AbsorbedPower kW</v>
      </c>
      <c r="G16" s="1" t="str">
        <v>TotalEff</v>
      </c>
      <c r="H16" s="1" t="str">
        <v>FEI</v>
      </c>
      <c r="I16" s="1" t="str">
        <v>Sound Power dBA</v>
      </c>
    </row>
    <row r="17" spans="2:9" x14ac:dyDescent="0.25">
      <c r="B17" s="1" t="str">
        <f>$B$4</f>
        <v>KESO-315</v>
      </c>
      <c r="C17" s="1">
        <v>3000</v>
      </c>
      <c r="D17" s="4" cm="1">
        <f t="array" ref="D17:D26">$D$4:$D$13*(($C17/$C$4)^1)</f>
        <v>3528.75</v>
      </c>
      <c r="E17" s="4" cm="1">
        <f t="array" ref="E17:E26">$E$4:$E$13*(($C17/$C$4)^2)</f>
        <v>0</v>
      </c>
      <c r="F17" s="2" cm="1">
        <f t="array" ref="F17:F26">$F$4:$F$13*(($C17/$C$4)^3)</f>
        <v>0.4521122685185186</v>
      </c>
      <c r="G17" s="1" cm="1">
        <f t="array" ref="G17:G26">G4:G13</f>
        <v>8</v>
      </c>
      <c r="H17" s="1" cm="1">
        <f t="array" ref="H17:H26">H4:H13</f>
        <v>0.56499999999999995</v>
      </c>
      <c r="I17" s="5">
        <v>95.615689485094919</v>
      </c>
    </row>
    <row r="18" spans="2:9" x14ac:dyDescent="0.25">
      <c r="D18" s="4">
        <v>3225.0000000000005</v>
      </c>
      <c r="E18" s="4">
        <v>261.50173611111114</v>
      </c>
      <c r="F18" s="2">
        <v>0.53010163483796302</v>
      </c>
      <c r="G18" s="1">
        <v>49.4</v>
      </c>
      <c r="H18" s="1">
        <v>1.2909999999999999</v>
      </c>
      <c r="I18" s="5" t="s">
        <v>5</v>
      </c>
    </row>
    <row r="19" spans="2:9" x14ac:dyDescent="0.25">
      <c r="D19" s="4">
        <v>2988.7500000000005</v>
      </c>
      <c r="E19" s="4">
        <v>479.60069444444451</v>
      </c>
      <c r="F19" s="2">
        <v>0.63069661458333348</v>
      </c>
      <c r="G19" s="1">
        <v>66.5</v>
      </c>
      <c r="H19" s="1">
        <v>1.571</v>
      </c>
      <c r="I19" s="5">
        <v>91.794689158913286</v>
      </c>
    </row>
    <row r="20" spans="2:9" x14ac:dyDescent="0.25">
      <c r="D20" s="4">
        <v>2636.25</v>
      </c>
      <c r="E20" s="4">
        <v>796.4409722222224</v>
      </c>
      <c r="F20" s="2">
        <v>0.77424225983796313</v>
      </c>
      <c r="G20" s="1">
        <v>77.099999999999994</v>
      </c>
      <c r="H20" s="1">
        <v>1.7450000000000001</v>
      </c>
      <c r="I20" s="5" t="s">
        <v>5</v>
      </c>
    </row>
    <row r="21" spans="2:9" x14ac:dyDescent="0.25">
      <c r="D21" s="4">
        <v>2295</v>
      </c>
      <c r="E21" s="4">
        <v>1001.5190972222224</v>
      </c>
      <c r="F21" s="2">
        <v>0.80589011863425941</v>
      </c>
      <c r="G21" s="1">
        <v>80.099999999999994</v>
      </c>
      <c r="H21" s="1">
        <v>1.819</v>
      </c>
      <c r="I21" s="5">
        <v>89.453480284568087</v>
      </c>
    </row>
    <row r="22" spans="2:9" x14ac:dyDescent="0.25">
      <c r="D22" s="4">
        <v>1908.7500000000002</v>
      </c>
      <c r="E22" s="4">
        <v>1152.3437500000002</v>
      </c>
      <c r="F22" s="2">
        <v>0.78441478587962976</v>
      </c>
      <c r="G22" s="1">
        <v>78.2</v>
      </c>
      <c r="H22" s="1">
        <v>1.8240000000000001</v>
      </c>
      <c r="I22" s="5" t="s">
        <v>5</v>
      </c>
    </row>
    <row r="23" spans="2:9" x14ac:dyDescent="0.25">
      <c r="D23" s="4">
        <v>1586.25</v>
      </c>
      <c r="E23" s="4">
        <v>1213.1076388888891</v>
      </c>
      <c r="F23" s="2">
        <v>0.72903103298611127</v>
      </c>
      <c r="G23" s="1">
        <v>73.400000000000006</v>
      </c>
      <c r="H23" s="1">
        <v>1.7789999999999999</v>
      </c>
      <c r="I23" s="5">
        <v>91.476971446047457</v>
      </c>
    </row>
    <row r="24" spans="2:9" x14ac:dyDescent="0.25">
      <c r="D24" s="4">
        <v>1035.0000000000002</v>
      </c>
      <c r="E24" s="4">
        <v>1202.2569444444446</v>
      </c>
      <c r="F24" s="2">
        <v>0.5741825810185186</v>
      </c>
      <c r="G24" s="1">
        <v>59.9</v>
      </c>
      <c r="H24" s="1">
        <v>1.643</v>
      </c>
      <c r="I24" s="5" t="s">
        <v>5</v>
      </c>
    </row>
    <row r="25" spans="2:9" x14ac:dyDescent="0.25">
      <c r="D25" s="4">
        <v>412.50000000000006</v>
      </c>
      <c r="E25" s="4">
        <v>1174.0451388888891</v>
      </c>
      <c r="F25" s="2">
        <v>0.43515805844907418</v>
      </c>
      <c r="G25" s="1">
        <v>30.9</v>
      </c>
      <c r="H25" s="1">
        <v>1.278</v>
      </c>
      <c r="I25" s="5" t="s">
        <v>5</v>
      </c>
    </row>
    <row r="26" spans="2:9" x14ac:dyDescent="0.25">
      <c r="D26" s="4">
        <v>0</v>
      </c>
      <c r="E26" s="4">
        <v>1238.0642361111113</v>
      </c>
      <c r="F26" s="2">
        <v>0.39333767361111116</v>
      </c>
      <c r="G26" s="1">
        <v>0</v>
      </c>
      <c r="H26" s="1">
        <v>0.83099999999999996</v>
      </c>
      <c r="I26" s="5" t="s">
        <v>5</v>
      </c>
    </row>
    <row r="29" spans="2:9" x14ac:dyDescent="0.25">
      <c r="B29" s="1" t="str" cm="1">
        <f t="array" ref="B29:I29">$B$3:$I$3</f>
        <v>Model</v>
      </c>
      <c r="C29" s="1" t="str">
        <v>Speed</v>
      </c>
      <c r="D29" s="1" t="str">
        <v>AirFlowRate m3\hr</v>
      </c>
      <c r="E29" s="1" t="str">
        <v>StaticPressure Pa</v>
      </c>
      <c r="F29" s="1" t="str">
        <v>AbsorbedPower kW</v>
      </c>
      <c r="G29" s="1" t="str">
        <v>TotalEff</v>
      </c>
      <c r="H29" s="1" t="str">
        <v>FEI</v>
      </c>
      <c r="I29" s="1" t="str">
        <v>Sound Power dBA</v>
      </c>
    </row>
    <row r="30" spans="2:9" x14ac:dyDescent="0.25">
      <c r="B30" s="1" t="str">
        <f>$B$4</f>
        <v>KESO-315</v>
      </c>
      <c r="C30" s="1">
        <v>3200</v>
      </c>
      <c r="D30" s="4" cm="1">
        <f t="array" ref="D30:D39">$D$4:$D$13*(($C30/$C$4)^1)</f>
        <v>3764</v>
      </c>
      <c r="E30" s="4" cm="1">
        <f t="array" ref="E30:E39">$E$4:$E$13*(($C30/$C$4)^2)</f>
        <v>0</v>
      </c>
      <c r="F30" s="2" cm="1">
        <f t="array" ref="F30:F39">$F$4:$F$13*(($C30/$C$4)^3)</f>
        <v>0.54869684499314142</v>
      </c>
      <c r="G30" s="1" cm="1">
        <f t="array" ref="G30:G39">G17:G26</f>
        <v>8</v>
      </c>
      <c r="H30" s="1" cm="1">
        <f t="array" ref="H30:H39">H17:H26</f>
        <v>0.56499999999999995</v>
      </c>
      <c r="I30" s="5">
        <v>97.017125665107088</v>
      </c>
    </row>
    <row r="31" spans="2:9" x14ac:dyDescent="0.25">
      <c r="D31" s="4">
        <v>3440</v>
      </c>
      <c r="E31" s="4">
        <v>297.53086419753089</v>
      </c>
      <c r="F31" s="2">
        <v>0.64334705075445831</v>
      </c>
      <c r="G31" s="1">
        <v>49.4</v>
      </c>
      <c r="H31" s="1">
        <v>1.2909999999999999</v>
      </c>
      <c r="I31" s="5" t="s">
        <v>5</v>
      </c>
    </row>
    <row r="32" spans="2:9" x14ac:dyDescent="0.25">
      <c r="D32" s="4">
        <v>3188.0000000000005</v>
      </c>
      <c r="E32" s="4">
        <v>545.6790123456791</v>
      </c>
      <c r="F32" s="2">
        <v>0.76543209876543228</v>
      </c>
      <c r="G32" s="1">
        <v>66.5</v>
      </c>
      <c r="H32" s="1">
        <v>1.571</v>
      </c>
      <c r="I32" s="5">
        <v>93.196125338925455</v>
      </c>
    </row>
    <row r="33" spans="2:9" x14ac:dyDescent="0.25">
      <c r="D33" s="4">
        <v>2812</v>
      </c>
      <c r="E33" s="4">
        <v>906.17283950617298</v>
      </c>
      <c r="F33" s="2">
        <v>0.9396433470507547</v>
      </c>
      <c r="G33" s="1">
        <v>77.099999999999994</v>
      </c>
      <c r="H33" s="1">
        <v>1.7450000000000001</v>
      </c>
      <c r="I33" s="5" t="s">
        <v>5</v>
      </c>
    </row>
    <row r="34" spans="2:9" x14ac:dyDescent="0.25">
      <c r="D34" s="4">
        <v>2448</v>
      </c>
      <c r="E34" s="4">
        <v>1139.5061728395062</v>
      </c>
      <c r="F34" s="2">
        <v>0.97805212620027449</v>
      </c>
      <c r="G34" s="1">
        <v>80.099999999999994</v>
      </c>
      <c r="H34" s="1">
        <v>1.819</v>
      </c>
      <c r="I34" s="5">
        <v>90.854916464580256</v>
      </c>
    </row>
    <row r="35" spans="2:9" x14ac:dyDescent="0.25">
      <c r="D35" s="4">
        <v>2036.0000000000002</v>
      </c>
      <c r="E35" s="4">
        <v>1311.1111111111113</v>
      </c>
      <c r="F35" s="2">
        <v>0.95198902606310021</v>
      </c>
      <c r="G35" s="1">
        <v>78.2</v>
      </c>
      <c r="H35" s="1">
        <v>1.8240000000000001</v>
      </c>
      <c r="I35" s="5" t="s">
        <v>5</v>
      </c>
    </row>
    <row r="36" spans="2:9" x14ac:dyDescent="0.25">
      <c r="D36" s="4">
        <v>1692</v>
      </c>
      <c r="E36" s="4">
        <v>1380.2469135802471</v>
      </c>
      <c r="F36" s="2">
        <v>0.88477366255144052</v>
      </c>
      <c r="G36" s="1">
        <v>73.400000000000006</v>
      </c>
      <c r="H36" s="1">
        <v>1.7789999999999999</v>
      </c>
      <c r="I36" s="5">
        <v>92.878407626059612</v>
      </c>
    </row>
    <row r="37" spans="2:9" x14ac:dyDescent="0.25">
      <c r="D37" s="4">
        <v>1104.0000000000002</v>
      </c>
      <c r="E37" s="4">
        <v>1367.9012345679014</v>
      </c>
      <c r="F37" s="2">
        <v>0.69684499314128956</v>
      </c>
      <c r="G37" s="1">
        <v>59.9</v>
      </c>
      <c r="H37" s="1">
        <v>1.643</v>
      </c>
      <c r="I37" s="5" t="s">
        <v>5</v>
      </c>
    </row>
    <row r="38" spans="2:9" x14ac:dyDescent="0.25">
      <c r="D38" s="4">
        <v>440</v>
      </c>
      <c r="E38" s="4">
        <v>1335.8024691358025</v>
      </c>
      <c r="F38" s="2">
        <v>0.5281207133058986</v>
      </c>
      <c r="G38" s="1">
        <v>30.9</v>
      </c>
      <c r="H38" s="1">
        <v>1.278</v>
      </c>
      <c r="I38" s="5" t="s">
        <v>5</v>
      </c>
    </row>
    <row r="39" spans="2:9" x14ac:dyDescent="0.25">
      <c r="D39" s="4">
        <v>0</v>
      </c>
      <c r="E39" s="4">
        <v>1408.6419753086423</v>
      </c>
      <c r="F39" s="2">
        <v>0.47736625514403297</v>
      </c>
      <c r="G39" s="1">
        <v>0</v>
      </c>
      <c r="H39" s="1">
        <v>0.83099999999999996</v>
      </c>
      <c r="I39" s="5" t="s">
        <v>5</v>
      </c>
    </row>
    <row r="42" spans="2:9" x14ac:dyDescent="0.25">
      <c r="B42" s="1" t="str" cm="1">
        <f t="array" ref="B42:I42">$B$3:$I$3</f>
        <v>Model</v>
      </c>
      <c r="C42" s="1" t="str">
        <v>Speed</v>
      </c>
      <c r="D42" s="1" t="str">
        <v>AirFlowRate m3\hr</v>
      </c>
      <c r="E42" s="1" t="str">
        <v>StaticPressure Pa</v>
      </c>
      <c r="F42" s="1" t="str">
        <v>AbsorbedPower kW</v>
      </c>
      <c r="G42" s="1" t="str">
        <v>TotalEff</v>
      </c>
      <c r="H42" s="1" t="str">
        <v>FEI</v>
      </c>
      <c r="I42" s="1" t="str">
        <v>Sound Power dBA</v>
      </c>
    </row>
    <row r="43" spans="2:9" x14ac:dyDescent="0.25">
      <c r="B43" s="1" t="str">
        <f>$B$4</f>
        <v>KESO-315</v>
      </c>
      <c r="C43" s="1">
        <v>3450</v>
      </c>
      <c r="D43" s="4" cm="1">
        <f t="array" ref="D43:D52">$D$4:$D$13*(($C43/$C$4)^1)</f>
        <v>4058.0625</v>
      </c>
      <c r="E43" s="4" cm="1">
        <f t="array" ref="E43:E52">$E$4:$E$13*(($C43/$C$4)^2)</f>
        <v>0</v>
      </c>
      <c r="F43" s="2" cm="1">
        <f t="array" ref="F43:F52">$F$4:$F$13*(($C43/$C$4)^3)</f>
        <v>0.68760624638310208</v>
      </c>
      <c r="G43" s="1" cm="1">
        <f t="array" ref="G43:G52">G30:G39</f>
        <v>8</v>
      </c>
      <c r="H43" s="1" cm="1">
        <f t="array" ref="H43:H52">H30:H39</f>
        <v>0.56499999999999995</v>
      </c>
      <c r="I43" s="5">
        <v>98.650581502775495</v>
      </c>
    </row>
    <row r="44" spans="2:9" x14ac:dyDescent="0.25">
      <c r="D44" s="4">
        <v>3708.7500000000005</v>
      </c>
      <c r="E44" s="4">
        <v>345.83604600694446</v>
      </c>
      <c r="F44" s="2">
        <v>0.80621832388418702</v>
      </c>
      <c r="G44" s="1">
        <v>49.4</v>
      </c>
      <c r="H44" s="1">
        <v>1.2909999999999999</v>
      </c>
      <c r="I44" s="5" t="s">
        <v>5</v>
      </c>
    </row>
    <row r="45" spans="2:9" x14ac:dyDescent="0.25">
      <c r="D45" s="4">
        <v>3437.0625000000005</v>
      </c>
      <c r="E45" s="4">
        <v>634.27191840277783</v>
      </c>
      <c r="F45" s="2">
        <v>0.95921071370442734</v>
      </c>
      <c r="G45" s="1">
        <v>66.5</v>
      </c>
      <c r="H45" s="1">
        <v>1.571</v>
      </c>
      <c r="I45" s="5">
        <v>94.829581176593862</v>
      </c>
    </row>
    <row r="46" spans="2:9" x14ac:dyDescent="0.25">
      <c r="D46" s="4">
        <v>3031.6875</v>
      </c>
      <c r="E46" s="4">
        <v>1053.2931857638889</v>
      </c>
      <c r="F46" s="2">
        <v>1.1775256969310623</v>
      </c>
      <c r="G46" s="1">
        <v>77.099999999999994</v>
      </c>
      <c r="H46" s="1">
        <v>1.7450000000000001</v>
      </c>
      <c r="I46" s="5" t="s">
        <v>5</v>
      </c>
    </row>
    <row r="47" spans="2:9" x14ac:dyDescent="0.25">
      <c r="D47" s="4">
        <v>2639.25</v>
      </c>
      <c r="E47" s="4">
        <v>1324.5090060763889</v>
      </c>
      <c r="F47" s="2">
        <v>1.2256581341778792</v>
      </c>
      <c r="G47" s="1">
        <v>80.099999999999994</v>
      </c>
      <c r="H47" s="1">
        <v>1.819</v>
      </c>
      <c r="I47" s="5">
        <v>92.488372302248663</v>
      </c>
    </row>
    <row r="48" spans="2:9" x14ac:dyDescent="0.25">
      <c r="D48" s="4">
        <v>2195.0625000000005</v>
      </c>
      <c r="E48" s="4">
        <v>1523.9746093750002</v>
      </c>
      <c r="F48" s="2">
        <v>1.1929968374746818</v>
      </c>
      <c r="G48" s="1">
        <v>78.2</v>
      </c>
      <c r="H48" s="1">
        <v>1.8240000000000001</v>
      </c>
      <c r="I48" s="5" t="s">
        <v>5</v>
      </c>
    </row>
    <row r="49" spans="4:9" x14ac:dyDescent="0.25">
      <c r="D49" s="4">
        <v>1824.1875</v>
      </c>
      <c r="E49" s="4">
        <v>1604.3348524305557</v>
      </c>
      <c r="F49" s="2">
        <v>1.108765072292752</v>
      </c>
      <c r="G49" s="1">
        <v>73.400000000000006</v>
      </c>
      <c r="H49" s="1">
        <v>1.7789999999999999</v>
      </c>
      <c r="I49" s="5">
        <v>94.511863463728019</v>
      </c>
    </row>
    <row r="50" spans="4:9" x14ac:dyDescent="0.25">
      <c r="D50" s="4">
        <v>1190.2500000000002</v>
      </c>
      <c r="E50" s="4">
        <v>1589.9848090277778</v>
      </c>
      <c r="F50" s="2">
        <v>0.87325993290653958</v>
      </c>
      <c r="G50" s="1">
        <v>59.9</v>
      </c>
      <c r="H50" s="1">
        <v>1.643</v>
      </c>
      <c r="I50" s="5" t="s">
        <v>5</v>
      </c>
    </row>
    <row r="51" spans="4:9" x14ac:dyDescent="0.25">
      <c r="D51" s="4">
        <v>474.37500000000006</v>
      </c>
      <c r="E51" s="4">
        <v>1552.6746961805557</v>
      </c>
      <c r="F51" s="2">
        <v>0.66182101214373568</v>
      </c>
      <c r="G51" s="1">
        <v>30.9</v>
      </c>
      <c r="H51" s="1">
        <v>1.278</v>
      </c>
      <c r="I51" s="5" t="s">
        <v>5</v>
      </c>
    </row>
    <row r="52" spans="4:9" x14ac:dyDescent="0.25">
      <c r="D52" s="4">
        <v>0</v>
      </c>
      <c r="E52" s="4">
        <v>1637.3399522569446</v>
      </c>
      <c r="F52" s="2">
        <v>0.59821743435329866</v>
      </c>
      <c r="G52" s="1">
        <v>0</v>
      </c>
      <c r="H52" s="1">
        <v>0.83099999999999996</v>
      </c>
      <c r="I52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2026-09-10T05:53:08Z</dcterms:created>
  <dcterms:modified xsi:type="dcterms:W3CDTF">2026-09-10T06:03:12Z</dcterms:modified>
</cp:coreProperties>
</file>